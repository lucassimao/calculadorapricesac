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tor\Downloads\"/>
    </mc:Choice>
  </mc:AlternateContent>
  <xr:revisionPtr revIDLastSave="0" documentId="13_ncr:1_{E51DADD5-6959-4443-A0C4-93D3E9ED2734}" xr6:coauthVersionLast="47" xr6:coauthVersionMax="47" xr10:uidLastSave="{00000000-0000-0000-0000-000000000000}"/>
  <bookViews>
    <workbookView xWindow="-110" yWindow="-110" windowWidth="38620" windowHeight="21100" xr2:uid="{DA3E1F67-8C27-4CDE-9CD1-ED3168E87CD2}"/>
  </bookViews>
  <sheets>
    <sheet name="Price" sheetId="1" r:id="rId1"/>
    <sheet name="SAC" sheetId="3" r:id="rId2"/>
    <sheet name="Sobre a Hashta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3" l="1"/>
  <c r="C4" i="3" s="1"/>
  <c r="D16" i="1"/>
  <c r="B16" i="1"/>
  <c r="E2" i="3"/>
  <c r="E2" i="1"/>
  <c r="B3" i="1" s="1"/>
  <c r="E3" i="3" l="1"/>
  <c r="E4" i="3" s="1"/>
  <c r="C5" i="3"/>
  <c r="B3" i="3"/>
  <c r="D3" i="3" s="1"/>
  <c r="D3" i="1"/>
  <c r="B4" i="3" l="1"/>
  <c r="D4" i="3" s="1"/>
  <c r="C6" i="3"/>
  <c r="E5" i="3"/>
  <c r="B5" i="3"/>
  <c r="D5" i="3" s="1"/>
  <c r="C3" i="1"/>
  <c r="E3" i="1" s="1"/>
  <c r="D4" i="1"/>
  <c r="C7" i="3" l="1"/>
  <c r="B6" i="3"/>
  <c r="D6" i="3" s="1"/>
  <c r="E6" i="3"/>
  <c r="D5" i="1"/>
  <c r="B4" i="1"/>
  <c r="C4" i="1" s="1"/>
  <c r="E4" i="1" s="1"/>
  <c r="B5" i="1" s="1"/>
  <c r="C8" i="3" l="1"/>
  <c r="C9" i="3" s="1"/>
  <c r="C10" i="3" s="1"/>
  <c r="C11" i="3" s="1"/>
  <c r="B7" i="3"/>
  <c r="D7" i="3" s="1"/>
  <c r="E7" i="3"/>
  <c r="D6" i="1"/>
  <c r="D7" i="1" s="1"/>
  <c r="D8" i="1" s="1"/>
  <c r="D9" i="1" s="1"/>
  <c r="D10" i="1" s="1"/>
  <c r="C5" i="1"/>
  <c r="E5" i="1" s="1"/>
  <c r="B6" i="1" s="1"/>
  <c r="B8" i="3" l="1"/>
  <c r="D8" i="3" s="1"/>
  <c r="E8" i="3"/>
  <c r="C12" i="3"/>
  <c r="C6" i="1"/>
  <c r="E6" i="1" s="1"/>
  <c r="B7" i="1" s="1"/>
  <c r="C7" i="1" s="1"/>
  <c r="E7" i="1" s="1"/>
  <c r="B8" i="1" s="1"/>
  <c r="C8" i="1" s="1"/>
  <c r="E8" i="1" s="1"/>
  <c r="B9" i="1" s="1"/>
  <c r="C9" i="1" s="1"/>
  <c r="E9" i="1" s="1"/>
  <c r="B10" i="1" s="1"/>
  <c r="C10" i="1" s="1"/>
  <c r="E10" i="1" s="1"/>
  <c r="D11" i="1"/>
  <c r="B9" i="3" l="1"/>
  <c r="D9" i="3" s="1"/>
  <c r="E9" i="3"/>
  <c r="C13" i="3"/>
  <c r="B11" i="1"/>
  <c r="C11" i="1" s="1"/>
  <c r="E11" i="1" s="1"/>
  <c r="D12" i="1"/>
  <c r="E10" i="3" l="1"/>
  <c r="B10" i="3"/>
  <c r="D10" i="3" s="1"/>
  <c r="C14" i="3"/>
  <c r="B12" i="1"/>
  <c r="C12" i="1" s="1"/>
  <c r="E12" i="1" s="1"/>
  <c r="D13" i="1"/>
  <c r="E11" i="3" l="1"/>
  <c r="B11" i="3"/>
  <c r="D11" i="3" s="1"/>
  <c r="B13" i="1"/>
  <c r="C13" i="1" s="1"/>
  <c r="E13" i="1" s="1"/>
  <c r="D14" i="1"/>
  <c r="E12" i="3" l="1"/>
  <c r="B12" i="3"/>
  <c r="D12" i="3" s="1"/>
  <c r="B14" i="1"/>
  <c r="C14" i="1" s="1"/>
  <c r="E14" i="1" s="1"/>
  <c r="E13" i="3" l="1"/>
  <c r="B13" i="3"/>
  <c r="D13" i="3" s="1"/>
  <c r="E14" i="3" l="1"/>
  <c r="B14" i="3"/>
  <c r="D14" i="3" l="1"/>
  <c r="D16" i="3" s="1"/>
  <c r="B16" i="3"/>
</calcChain>
</file>

<file path=xl/sharedStrings.xml><?xml version="1.0" encoding="utf-8"?>
<sst xmlns="http://schemas.openxmlformats.org/spreadsheetml/2006/main" count="16" uniqueCount="8">
  <si>
    <t>Parcela</t>
  </si>
  <si>
    <t>Juros</t>
  </si>
  <si>
    <t>Amortização</t>
  </si>
  <si>
    <t>Pagamento</t>
  </si>
  <si>
    <t>Saldo Devedor</t>
  </si>
  <si>
    <t>Financiamento</t>
  </si>
  <si>
    <t>Taxa ao mês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</si>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</sst>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\″\.\”###\”\.\”###\-##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71C0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44" fontId="0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44" fontId="0" fillId="0" borderId="1" xfId="1" applyFont="1" applyBorder="1"/>
    <xf numFmtId="10" fontId="0" fillId="0" borderId="1" xfId="0" applyNumberFormat="1" applyBorder="1"/>
    <xf numFmtId="0" fontId="2" fillId="0" borderId="0" xfId="0" applyFont="1" applyFill="1" applyBorder="1" applyAlignment="1">
      <alignment horizontal="center"/>
    </xf>
    <xf numFmtId="44" fontId="0" fillId="0" borderId="0" xfId="1" applyFont="1" applyFill="1" applyBorder="1"/>
    <xf numFmtId="0" fontId="0" fillId="0" borderId="0" xfId="0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164" fontId="0" fillId="4" borderId="0" xfId="0" quotePrefix="1" applyNumberForma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https://pages.hashtagtreinamentos.com/esperaexcelimpressionador?origemurl=hashtag_yt_org_listaesperaexcel_quuuZNtZk8c" TargetMode="External"/><Relationship Id="rId3" Type="http://schemas.openxmlformats.org/officeDocument/2006/relationships/hyperlink" Target="https://www.youtube.com/c/HashtagTreinamentos" TargetMode="External"/><Relationship Id="rId7" Type="http://schemas.openxmlformats.org/officeDocument/2006/relationships/hyperlink" Target="https://pages.hashtagtreinamentos.com/inscricao-prova-excel-questoes-yt-att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6" Type="http://schemas.openxmlformats.org/officeDocument/2006/relationships/image" Target="../media/image9.svg"/><Relationship Id="rId1" Type="http://schemas.openxmlformats.org/officeDocument/2006/relationships/hyperlink" Target="https://www.hashtagtreinamentos.com/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pages.hashtagtreinamentos.com/inscricoes-minicurso-testenivel-yt" TargetMode="External"/><Relationship Id="rId5" Type="http://schemas.openxmlformats.org/officeDocument/2006/relationships/hyperlink" Target="https://www.instagram.com/hashtagtreinamentos/" TargetMode="External"/><Relationship Id="rId15" Type="http://schemas.openxmlformats.org/officeDocument/2006/relationships/image" Target="../media/image8.png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pages.hashtagtreinamentos.com/inscricao-minicurso-dashboards-att-yt" TargetMode="Externa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579088</xdr:colOff>
      <xdr:row>1</xdr:row>
      <xdr:rowOff>1</xdr:rowOff>
    </xdr:from>
    <xdr:to>
      <xdr:col>4</xdr:col>
      <xdr:colOff>92426</xdr:colOff>
      <xdr:row>6</xdr:row>
      <xdr:rowOff>53797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2A5056-BA73-47C8-88C3-4AA7E89E5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9088" y="184151"/>
          <a:ext cx="2078738" cy="974546"/>
        </a:xfrm>
        <a:prstGeom prst="rect">
          <a:avLst/>
        </a:prstGeom>
      </xdr:spPr>
    </xdr:pic>
    <xdr:clientData/>
  </xdr:twoCellAnchor>
  <xdr:twoCellAnchor>
    <xdr:from>
      <xdr:col>5</xdr:col>
      <xdr:colOff>154783</xdr:colOff>
      <xdr:row>2</xdr:row>
      <xdr:rowOff>92656</xdr:rowOff>
    </xdr:from>
    <xdr:to>
      <xdr:col>5</xdr:col>
      <xdr:colOff>154783</xdr:colOff>
      <xdr:row>20</xdr:row>
      <xdr:rowOff>78794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E84EB2A1-D1EF-4653-97C5-C52AAE9471B3}"/>
            </a:ext>
          </a:extLst>
        </xdr:cNvPr>
        <xdr:cNvCxnSpPr/>
      </xdr:nvCxnSpPr>
      <xdr:spPr>
        <a:xfrm>
          <a:off x="3361533" y="460956"/>
          <a:ext cx="0" cy="3300838"/>
        </a:xfrm>
        <a:prstGeom prst="line">
          <a:avLst/>
        </a:prstGeom>
        <a:ln w="28575">
          <a:solidFill>
            <a:srgbClr val="346809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500344</xdr:colOff>
      <xdr:row>1</xdr:row>
      <xdr:rowOff>21919</xdr:rowOff>
    </xdr:from>
    <xdr:to>
      <xdr:col>8</xdr:col>
      <xdr:colOff>459862</xdr:colOff>
      <xdr:row>21</xdr:row>
      <xdr:rowOff>57144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C893FA0C-5211-41FF-BAD2-6CD4548BF67C}"/>
            </a:ext>
          </a:extLst>
        </xdr:cNvPr>
        <xdr:cNvGrpSpPr/>
      </xdr:nvGrpSpPr>
      <xdr:grpSpPr>
        <a:xfrm>
          <a:off x="3707094" y="206069"/>
          <a:ext cx="1883568" cy="3718225"/>
          <a:chOff x="3525932" y="212419"/>
          <a:chExt cx="1774871" cy="3845225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C16D3E6E-A256-45D9-ACE4-DEE2A7308E42}"/>
              </a:ext>
            </a:extLst>
          </xdr:cNvPr>
          <xdr:cNvGrpSpPr/>
        </xdr:nvGrpSpPr>
        <xdr:grpSpPr>
          <a:xfrm>
            <a:off x="3525932" y="212419"/>
            <a:ext cx="1774871" cy="3845225"/>
            <a:chOff x="509258" y="1384565"/>
            <a:chExt cx="2325339" cy="2701660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4A9729FC-C538-40F0-BCFE-7BA46A57E773}"/>
                </a:ext>
              </a:extLst>
            </xdr:cNvPr>
            <xdr:cNvSpPr/>
          </xdr:nvSpPr>
          <xdr:spPr>
            <a:xfrm>
              <a:off x="511162" y="1400175"/>
              <a:ext cx="2322071" cy="2686050"/>
            </a:xfrm>
            <a:prstGeom prst="roundRect">
              <a:avLst>
                <a:gd name="adj" fmla="val 12868"/>
              </a:avLst>
            </a:prstGeom>
            <a:solidFill>
              <a:schemeClr val="bg1"/>
            </a:solidFill>
            <a:ln w="19050">
              <a:solidFill>
                <a:srgbClr val="224803"/>
              </a:solidFill>
            </a:ln>
            <a:effectLst>
              <a:outerShdw blurRad="50800" dist="38100" algn="tl" rotWithShape="0">
                <a:prstClr val="black">
                  <a:alpha val="26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1" name="Retângulo: Cantos Superiores Arredondados 10">
              <a:extLst>
                <a:ext uri="{FF2B5EF4-FFF2-40B4-BE49-F238E27FC236}">
                  <a16:creationId xmlns:a16="http://schemas.microsoft.com/office/drawing/2014/main" id="{76FDB20E-8632-4B97-822A-D51E7C415FF2}"/>
                </a:ext>
              </a:extLst>
            </xdr:cNvPr>
            <xdr:cNvSpPr/>
          </xdr:nvSpPr>
          <xdr:spPr>
            <a:xfrm>
              <a:off x="509258" y="1389242"/>
              <a:ext cx="2325339" cy="307844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4803"/>
            </a:solidFill>
            <a:ln>
              <a:solidFill>
                <a:srgbClr val="22480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48F31FB0-BF43-441B-9FC2-8429730094EC}"/>
                </a:ext>
              </a:extLst>
            </xdr:cNvPr>
            <xdr:cNvSpPr txBox="1"/>
          </xdr:nvSpPr>
          <xdr:spPr>
            <a:xfrm>
              <a:off x="598673" y="1384565"/>
              <a:ext cx="2116490" cy="3284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pt-BR" sz="1200" b="1" u="sng">
                  <a:solidFill>
                    <a:schemeClr val="bg1"/>
                  </a:solidFill>
                  <a:latin typeface="Montserrat" panose="00000500000000000000" pitchFamily="2" charset="0"/>
                </a:rPr>
                <a:t>Nossas Redes</a:t>
              </a:r>
              <a:r>
                <a:rPr lang="pt-BR" sz="1200" b="1" u="sng" baseline="0">
                  <a:solidFill>
                    <a:schemeClr val="bg1"/>
                  </a:solidFill>
                  <a:latin typeface="Montserrat" panose="00000500000000000000" pitchFamily="2" charset="0"/>
                </a:rPr>
                <a:t> Sociais</a:t>
              </a:r>
              <a:endParaRPr lang="pt-BR" sz="1200" b="1" u="sng">
                <a:solidFill>
                  <a:schemeClr val="bg1"/>
                </a:solidFill>
                <a:latin typeface="Montserrat" panose="00000500000000000000" pitchFamily="2" charset="0"/>
              </a:endParaRPr>
            </a:p>
          </xdr:txBody>
        </xdr:sp>
      </xdr:grpSp>
      <xdr:pic>
        <xdr:nvPicPr>
          <xdr:cNvPr id="6" name="Imagem 5" descr="Youtube - ícones de mídia social grátis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F734E03-4900-4C8D-89B5-A5636B2893D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61609" y="1025339"/>
            <a:ext cx="503516" cy="47624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CaixaDeTexto 6">
            <a:hlinkClick xmlns:r="http://schemas.openxmlformats.org/officeDocument/2006/relationships" r:id="rId3" tooltip="Canal Youtube Hashtag Treinamentos"/>
            <a:extLst>
              <a:ext uri="{FF2B5EF4-FFF2-40B4-BE49-F238E27FC236}">
                <a16:creationId xmlns:a16="http://schemas.microsoft.com/office/drawing/2014/main" id="{B2F2C13F-56FA-4D37-88A6-AD5A626E9638}"/>
              </a:ext>
            </a:extLst>
          </xdr:cNvPr>
          <xdr:cNvSpPr txBox="1"/>
        </xdr:nvSpPr>
        <xdr:spPr>
          <a:xfrm>
            <a:off x="3903780" y="1535719"/>
            <a:ext cx="1019174" cy="655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900">
                <a:latin typeface="Montserrat" panose="00000500000000000000" pitchFamily="2" charset="0"/>
              </a:rPr>
              <a:t>Canal</a:t>
            </a:r>
            <a:r>
              <a:rPr lang="pt-BR" sz="900" baseline="0">
                <a:latin typeface="Montserrat" panose="00000500000000000000" pitchFamily="2" charset="0"/>
              </a:rPr>
              <a:t> Youtube Hashtag Treinamentos</a:t>
            </a:r>
            <a:endParaRPr lang="pt-BR" sz="900">
              <a:latin typeface="Montserrat" panose="00000500000000000000" pitchFamily="2" charset="0"/>
            </a:endParaRPr>
          </a:p>
        </xdr:txBody>
      </xdr:sp>
      <xdr:pic>
        <xdr:nvPicPr>
          <xdr:cNvPr id="8" name="Picture 6" descr="Instagram Ícone – Icon - PNG Transparent - Image PNG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92309E89-A43C-49B3-95DD-CFE4FA51544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199860" y="2559802"/>
            <a:ext cx="427015" cy="42674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CaixaDeTexto 8">
            <a:hlinkClick xmlns:r="http://schemas.openxmlformats.org/officeDocument/2006/relationships" r:id="rId5" tooltip="https://www.instagram.com/hashtagtreinamentos/"/>
            <a:extLst>
              <a:ext uri="{FF2B5EF4-FFF2-40B4-BE49-F238E27FC236}">
                <a16:creationId xmlns:a16="http://schemas.microsoft.com/office/drawing/2014/main" id="{D6887B88-4CCD-48A1-B45D-842D858EADAF}"/>
              </a:ext>
            </a:extLst>
          </xdr:cNvPr>
          <xdr:cNvSpPr txBox="1"/>
        </xdr:nvSpPr>
        <xdr:spPr>
          <a:xfrm>
            <a:off x="3903780" y="3069245"/>
            <a:ext cx="1019174" cy="655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900">
                <a:latin typeface="Montserrat" panose="00000500000000000000" pitchFamily="2" charset="0"/>
              </a:rPr>
              <a:t>Perfil Instagram Hashtag Treinamentos</a:t>
            </a:r>
          </a:p>
        </xdr:txBody>
      </xdr:sp>
    </xdr:grpSp>
    <xdr:clientData/>
  </xdr:twoCellAnchor>
  <xdr:twoCellAnchor>
    <xdr:from>
      <xdr:col>9</xdr:col>
      <xdr:colOff>114802</xdr:colOff>
      <xdr:row>1</xdr:row>
      <xdr:rowOff>28576</xdr:rowOff>
    </xdr:from>
    <xdr:to>
      <xdr:col>15</xdr:col>
      <xdr:colOff>277824</xdr:colOff>
      <xdr:row>21</xdr:row>
      <xdr:rowOff>57144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F9CAD3A6-BAB3-4313-A838-12B2838F1914}"/>
            </a:ext>
          </a:extLst>
        </xdr:cNvPr>
        <xdr:cNvGrpSpPr/>
      </xdr:nvGrpSpPr>
      <xdr:grpSpPr>
        <a:xfrm>
          <a:off x="5886952" y="212726"/>
          <a:ext cx="4595322" cy="3711568"/>
          <a:chOff x="509258" y="1389242"/>
          <a:chExt cx="2325339" cy="2696983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16834CC5-CB9E-4219-8486-E3946D234D0D}"/>
              </a:ext>
            </a:extLst>
          </xdr:cNvPr>
          <xdr:cNvSpPr/>
        </xdr:nvSpPr>
        <xdr:spPr>
          <a:xfrm>
            <a:off x="511162" y="1400175"/>
            <a:ext cx="2322071" cy="2686050"/>
          </a:xfrm>
          <a:prstGeom prst="roundRect">
            <a:avLst>
              <a:gd name="adj" fmla="val 6180"/>
            </a:avLst>
          </a:prstGeom>
          <a:solidFill>
            <a:schemeClr val="bg1"/>
          </a:solidFill>
          <a:ln w="19050">
            <a:solidFill>
              <a:srgbClr val="224803"/>
            </a:solidFill>
          </a:ln>
          <a:effectLst>
            <a:outerShdw blurRad="50800" dist="38100" algn="tl" rotWithShape="0">
              <a:prstClr val="black">
                <a:alpha val="2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7CAB6B5E-E841-4CDD-A372-C08ADC56A3B0}"/>
              </a:ext>
            </a:extLst>
          </xdr:cNvPr>
          <xdr:cNvSpPr/>
        </xdr:nvSpPr>
        <xdr:spPr>
          <a:xfrm>
            <a:off x="509258" y="1389242"/>
            <a:ext cx="2325339" cy="30784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4803"/>
          </a:solidFill>
          <a:ln>
            <a:solidFill>
              <a:srgbClr val="22480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D54533D6-BFE0-4C16-8628-96575090DDBE}"/>
              </a:ext>
            </a:extLst>
          </xdr:cNvPr>
          <xdr:cNvSpPr txBox="1"/>
        </xdr:nvSpPr>
        <xdr:spPr>
          <a:xfrm>
            <a:off x="598673" y="1450451"/>
            <a:ext cx="2116490" cy="196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200" b="1" u="sng">
                <a:solidFill>
                  <a:schemeClr val="bg1"/>
                </a:solidFill>
                <a:latin typeface="Montserrat" panose="00000500000000000000" pitchFamily="2" charset="0"/>
              </a:rPr>
              <a:t>Minicursos de Excel Gratuitos</a:t>
            </a:r>
          </a:p>
        </xdr:txBody>
      </xdr:sp>
    </xdr:grpSp>
    <xdr:clientData/>
  </xdr:twoCellAnchor>
  <xdr:twoCellAnchor>
    <xdr:from>
      <xdr:col>15</xdr:col>
      <xdr:colOff>537882</xdr:colOff>
      <xdr:row>1</xdr:row>
      <xdr:rowOff>28576</xdr:rowOff>
    </xdr:from>
    <xdr:to>
      <xdr:col>19</xdr:col>
      <xdr:colOff>381000</xdr:colOff>
      <xdr:row>21</xdr:row>
      <xdr:rowOff>57144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BFD04027-9F33-4803-90FD-C0843EE060EA}"/>
            </a:ext>
          </a:extLst>
        </xdr:cNvPr>
        <xdr:cNvGrpSpPr/>
      </xdr:nvGrpSpPr>
      <xdr:grpSpPr>
        <a:xfrm>
          <a:off x="10742332" y="212726"/>
          <a:ext cx="2408518" cy="3711568"/>
          <a:chOff x="509258" y="1389242"/>
          <a:chExt cx="2325339" cy="2696983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B075A677-AD37-4A08-BCD7-756C704B58BB}"/>
              </a:ext>
            </a:extLst>
          </xdr:cNvPr>
          <xdr:cNvSpPr/>
        </xdr:nvSpPr>
        <xdr:spPr>
          <a:xfrm>
            <a:off x="511162" y="1400175"/>
            <a:ext cx="2322071" cy="2686050"/>
          </a:xfrm>
          <a:prstGeom prst="roundRect">
            <a:avLst>
              <a:gd name="adj" fmla="val 9668"/>
            </a:avLst>
          </a:prstGeom>
          <a:solidFill>
            <a:schemeClr val="bg1"/>
          </a:solidFill>
          <a:ln w="19050">
            <a:solidFill>
              <a:srgbClr val="224803"/>
            </a:solidFill>
          </a:ln>
          <a:effectLst>
            <a:outerShdw blurRad="50800" dist="38100" algn="tl" rotWithShape="0">
              <a:prstClr val="black">
                <a:alpha val="26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9995FB1F-9C57-4CB0-AA06-676972B09F5F}"/>
              </a:ext>
            </a:extLst>
          </xdr:cNvPr>
          <xdr:cNvSpPr/>
        </xdr:nvSpPr>
        <xdr:spPr>
          <a:xfrm>
            <a:off x="509258" y="1389242"/>
            <a:ext cx="2325339" cy="307844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4803"/>
          </a:solidFill>
          <a:ln>
            <a:solidFill>
              <a:srgbClr val="22480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3CF2F188-A591-4081-9B58-77F759F2543A}"/>
              </a:ext>
            </a:extLst>
          </xdr:cNvPr>
          <xdr:cNvSpPr txBox="1"/>
        </xdr:nvSpPr>
        <xdr:spPr>
          <a:xfrm>
            <a:off x="598673" y="1450451"/>
            <a:ext cx="2116490" cy="196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pt-BR" sz="1200" b="1" u="sng">
                <a:solidFill>
                  <a:schemeClr val="bg1"/>
                </a:solidFill>
                <a:latin typeface="Montserrat" panose="00000500000000000000" pitchFamily="2" charset="0"/>
              </a:rPr>
              <a:t>Excel</a:t>
            </a:r>
            <a:r>
              <a:rPr lang="pt-BR" sz="1200" b="1" u="sng" baseline="0">
                <a:solidFill>
                  <a:schemeClr val="bg1"/>
                </a:solidFill>
                <a:latin typeface="Montserrat" panose="00000500000000000000" pitchFamily="2" charset="0"/>
              </a:rPr>
              <a:t> Impressionador</a:t>
            </a:r>
            <a:endParaRPr lang="pt-BR" sz="1200" b="1" u="sng">
              <a:solidFill>
                <a:schemeClr val="bg1"/>
              </a:solidFill>
              <a:latin typeface="Montserrat" panose="00000500000000000000" pitchFamily="2" charset="0"/>
            </a:endParaRPr>
          </a:p>
        </xdr:txBody>
      </xdr:sp>
    </xdr:grpSp>
    <xdr:clientData/>
  </xdr:twoCellAnchor>
  <xdr:twoCellAnchor editAs="oneCell">
    <xdr:from>
      <xdr:col>10</xdr:col>
      <xdr:colOff>585018</xdr:colOff>
      <xdr:row>5</xdr:row>
      <xdr:rowOff>6845</xdr:rowOff>
    </xdr:from>
    <xdr:to>
      <xdr:col>12</xdr:col>
      <xdr:colOff>516518</xdr:colOff>
      <xdr:row>12</xdr:row>
      <xdr:rowOff>113345</xdr:rowOff>
    </xdr:to>
    <xdr:pic>
      <xdr:nvPicPr>
        <xdr:cNvPr id="21" name="Imagem 2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91D0079-F832-471D-BCA0-BDB4B7848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2718" y="927595"/>
          <a:ext cx="1214200" cy="1395550"/>
        </a:xfrm>
        <a:prstGeom prst="rect">
          <a:avLst/>
        </a:prstGeom>
      </xdr:spPr>
    </xdr:pic>
    <xdr:clientData/>
  </xdr:twoCellAnchor>
  <xdr:twoCellAnchor editAs="oneCell">
    <xdr:from>
      <xdr:col>9</xdr:col>
      <xdr:colOff>378600</xdr:colOff>
      <xdr:row>5</xdr:row>
      <xdr:rowOff>6845</xdr:rowOff>
    </xdr:from>
    <xdr:to>
      <xdr:col>10</xdr:col>
      <xdr:colOff>345574</xdr:colOff>
      <xdr:row>12</xdr:row>
      <xdr:rowOff>113345</xdr:rowOff>
    </xdr:to>
    <xdr:pic>
      <xdr:nvPicPr>
        <xdr:cNvPr id="22" name="Imagem 2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D9E9CA7-7847-4A20-9B6E-B43C0B0D4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0750" y="927595"/>
          <a:ext cx="1192524" cy="1395550"/>
        </a:xfrm>
        <a:prstGeom prst="rect">
          <a:avLst/>
        </a:prstGeom>
      </xdr:spPr>
    </xdr:pic>
    <xdr:clientData/>
  </xdr:twoCellAnchor>
  <xdr:twoCellAnchor editAs="oneCell">
    <xdr:from>
      <xdr:col>13</xdr:col>
      <xdr:colOff>126054</xdr:colOff>
      <xdr:row>5</xdr:row>
      <xdr:rowOff>28257</xdr:rowOff>
    </xdr:from>
    <xdr:to>
      <xdr:col>15</xdr:col>
      <xdr:colOff>24594</xdr:colOff>
      <xdr:row>12</xdr:row>
      <xdr:rowOff>91932</xdr:rowOff>
    </xdr:to>
    <xdr:pic>
      <xdr:nvPicPr>
        <xdr:cNvPr id="23" name="Imagem 2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5ACB71F-A662-4E46-8A58-A8C730C72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47804" y="949007"/>
          <a:ext cx="1181240" cy="1352725"/>
        </a:xfrm>
        <a:prstGeom prst="rect">
          <a:avLst/>
        </a:prstGeom>
      </xdr:spPr>
    </xdr:pic>
    <xdr:clientData/>
  </xdr:twoCellAnchor>
  <xdr:twoCellAnchor>
    <xdr:from>
      <xdr:col>9</xdr:col>
      <xdr:colOff>402839</xdr:colOff>
      <xdr:row>13</xdr:row>
      <xdr:rowOff>40532</xdr:rowOff>
    </xdr:from>
    <xdr:to>
      <xdr:col>10</xdr:col>
      <xdr:colOff>321335</xdr:colOff>
      <xdr:row>17</xdr:row>
      <xdr:rowOff>62070</xdr:rowOff>
    </xdr:to>
    <xdr:sp macro="" textlink="">
      <xdr:nvSpPr>
        <xdr:cNvPr id="24" name="CaixaDeTexto 23">
          <a:hlinkClick xmlns:r="http://schemas.openxmlformats.org/officeDocument/2006/relationships" r:id="rId9" tooltip="Canal Youtube Hashtag Treinamentos"/>
          <a:extLst>
            <a:ext uri="{FF2B5EF4-FFF2-40B4-BE49-F238E27FC236}">
              <a16:creationId xmlns:a16="http://schemas.microsoft.com/office/drawing/2014/main" id="{7EA30D7B-3BED-47B0-9D5B-C4BBF830DE5C}"/>
            </a:ext>
          </a:extLst>
        </xdr:cNvPr>
        <xdr:cNvSpPr txBox="1"/>
      </xdr:nvSpPr>
      <xdr:spPr>
        <a:xfrm>
          <a:off x="6174989" y="2434482"/>
          <a:ext cx="1144046" cy="758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Minicurso de Dashboards</a:t>
          </a:r>
        </a:p>
      </xdr:txBody>
    </xdr:sp>
    <xdr:clientData/>
  </xdr:twoCellAnchor>
  <xdr:twoCellAnchor>
    <xdr:from>
      <xdr:col>11</xdr:col>
      <xdr:colOff>5733</xdr:colOff>
      <xdr:row>13</xdr:row>
      <xdr:rowOff>40532</xdr:rowOff>
    </xdr:from>
    <xdr:to>
      <xdr:col>12</xdr:col>
      <xdr:colOff>486204</xdr:colOff>
      <xdr:row>17</xdr:row>
      <xdr:rowOff>62070</xdr:rowOff>
    </xdr:to>
    <xdr:sp macro="" textlink="">
      <xdr:nvSpPr>
        <xdr:cNvPr id="25" name="CaixaDeTexto 24">
          <a:hlinkClick xmlns:r="http://schemas.openxmlformats.org/officeDocument/2006/relationships" r:id="rId7" tooltip="Canal Youtube Hashtag Treinamentos"/>
          <a:extLst>
            <a:ext uri="{FF2B5EF4-FFF2-40B4-BE49-F238E27FC236}">
              <a16:creationId xmlns:a16="http://schemas.microsoft.com/office/drawing/2014/main" id="{25B0DFA5-D2A6-49B8-A325-3FFBE6100127}"/>
            </a:ext>
          </a:extLst>
        </xdr:cNvPr>
        <xdr:cNvSpPr txBox="1"/>
      </xdr:nvSpPr>
      <xdr:spPr>
        <a:xfrm>
          <a:off x="7644783" y="2434482"/>
          <a:ext cx="1121821" cy="758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Minicurso de 10 temas mais cobrados no merdado</a:t>
          </a:r>
        </a:p>
      </xdr:txBody>
    </xdr:sp>
    <xdr:clientData/>
  </xdr:twoCellAnchor>
  <xdr:twoCellAnchor>
    <xdr:from>
      <xdr:col>13</xdr:col>
      <xdr:colOff>139889</xdr:colOff>
      <xdr:row>13</xdr:row>
      <xdr:rowOff>40532</xdr:rowOff>
    </xdr:from>
    <xdr:to>
      <xdr:col>15</xdr:col>
      <xdr:colOff>10760</xdr:colOff>
      <xdr:row>17</xdr:row>
      <xdr:rowOff>62070</xdr:rowOff>
    </xdr:to>
    <xdr:sp macro="" textlink="">
      <xdr:nvSpPr>
        <xdr:cNvPr id="26" name="CaixaDeTexto 25">
          <a:hlinkClick xmlns:r="http://schemas.openxmlformats.org/officeDocument/2006/relationships" r:id="rId11" tooltip="Canal Youtube Hashtag Treinamentos"/>
          <a:extLst>
            <a:ext uri="{FF2B5EF4-FFF2-40B4-BE49-F238E27FC236}">
              <a16:creationId xmlns:a16="http://schemas.microsoft.com/office/drawing/2014/main" id="{DBA50B2A-E1AA-4746-B14F-89CE33FBC04E}"/>
            </a:ext>
          </a:extLst>
        </xdr:cNvPr>
        <xdr:cNvSpPr txBox="1"/>
      </xdr:nvSpPr>
      <xdr:spPr>
        <a:xfrm>
          <a:off x="9061639" y="2434482"/>
          <a:ext cx="1153571" cy="7581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000">
              <a:latin typeface="Montserrat" panose="00000500000000000000" pitchFamily="2" charset="0"/>
            </a:rPr>
            <a:t>Teste</a:t>
          </a:r>
          <a:r>
            <a:rPr lang="pt-BR" sz="1000" baseline="0">
              <a:latin typeface="Montserrat" panose="00000500000000000000" pitchFamily="2" charset="0"/>
            </a:rPr>
            <a:t> seu nível de Excel</a:t>
          </a:r>
          <a:endParaRPr lang="pt-BR" sz="1000">
            <a:latin typeface="Montserrat" panose="00000500000000000000" pitchFamily="2" charset="0"/>
          </a:endParaRPr>
        </a:p>
      </xdr:txBody>
    </xdr:sp>
    <xdr:clientData/>
  </xdr:twoCellAnchor>
  <xdr:twoCellAnchor>
    <xdr:from>
      <xdr:col>16</xdr:col>
      <xdr:colOff>124326</xdr:colOff>
      <xdr:row>4</xdr:row>
      <xdr:rowOff>133350</xdr:rowOff>
    </xdr:from>
    <xdr:to>
      <xdr:col>19</xdr:col>
      <xdr:colOff>133349</xdr:colOff>
      <xdr:row>11</xdr:row>
      <xdr:rowOff>66675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F610C301-89F8-4F81-A8CE-4B29B96F4B7A}"/>
            </a:ext>
          </a:extLst>
        </xdr:cNvPr>
        <xdr:cNvSpPr txBox="1"/>
      </xdr:nvSpPr>
      <xdr:spPr>
        <a:xfrm>
          <a:off x="10970126" y="869950"/>
          <a:ext cx="1933073" cy="1222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100" b="0" i="0">
              <a:solidFill>
                <a:schemeClr val="tx1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 saber mais sobre o nosso Curso Completo de Excel? Clique no link abaixo para garantir sua vaga na próxima turma: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15</xdr:col>
      <xdr:colOff>600075</xdr:colOff>
      <xdr:row>12</xdr:row>
      <xdr:rowOff>19050</xdr:rowOff>
    </xdr:from>
    <xdr:to>
      <xdr:col>19</xdr:col>
      <xdr:colOff>304800</xdr:colOff>
      <xdr:row>18</xdr:row>
      <xdr:rowOff>81558</xdr:rowOff>
    </xdr:to>
    <xdr:pic>
      <xdr:nvPicPr>
        <xdr:cNvPr id="28" name="Picture 8" descr="Todos os Cursos Hashtag Treinamentos">
          <a:hlinkClick xmlns:r="http://schemas.openxmlformats.org/officeDocument/2006/relationships" r:id="rId13" tooltip="Curso Excel Impressionador"/>
          <a:extLst>
            <a:ext uri="{FF2B5EF4-FFF2-40B4-BE49-F238E27FC236}">
              <a16:creationId xmlns:a16="http://schemas.microsoft.com/office/drawing/2014/main" id="{44FA0BD5-6DA7-4887-BB8F-E9F112D50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4525" y="2228850"/>
          <a:ext cx="2270125" cy="1167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257175</xdr:colOff>
      <xdr:row>7</xdr:row>
      <xdr:rowOff>58373</xdr:rowOff>
    </xdr:from>
    <xdr:to>
      <xdr:col>4</xdr:col>
      <xdr:colOff>414339</xdr:colOff>
      <xdr:row>21</xdr:row>
      <xdr:rowOff>85725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395083BB-55F9-453C-B641-8C5FF35C7763}"/>
            </a:ext>
          </a:extLst>
        </xdr:cNvPr>
        <xdr:cNvGrpSpPr/>
      </xdr:nvGrpSpPr>
      <xdr:grpSpPr>
        <a:xfrm>
          <a:off x="257175" y="1347423"/>
          <a:ext cx="2722564" cy="2605452"/>
          <a:chOff x="257175" y="1391873"/>
          <a:chExt cx="2595564" cy="2694352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4E600361-5A87-4785-9D4B-2FD1E0A07BCA}"/>
              </a:ext>
            </a:extLst>
          </xdr:cNvPr>
          <xdr:cNvGrpSpPr/>
        </xdr:nvGrpSpPr>
        <xdr:grpSpPr>
          <a:xfrm>
            <a:off x="257175" y="1391873"/>
            <a:ext cx="2595564" cy="2694352"/>
            <a:chOff x="507207" y="1391873"/>
            <a:chExt cx="2327602" cy="2694352"/>
          </a:xfrm>
        </xdr:grpSpPr>
        <xdr:sp macro="" textlink="">
          <xdr:nvSpPr>
            <xdr:cNvPr id="32" name="Retângulo: Cantos Arredondados 31">
              <a:extLst>
                <a:ext uri="{FF2B5EF4-FFF2-40B4-BE49-F238E27FC236}">
                  <a16:creationId xmlns:a16="http://schemas.microsoft.com/office/drawing/2014/main" id="{89FA4F75-23D6-4A27-95CD-EB8AAC7C829C}"/>
                </a:ext>
              </a:extLst>
            </xdr:cNvPr>
            <xdr:cNvSpPr/>
          </xdr:nvSpPr>
          <xdr:spPr>
            <a:xfrm>
              <a:off x="511162" y="1400175"/>
              <a:ext cx="2322071" cy="2686050"/>
            </a:xfrm>
            <a:prstGeom prst="roundRect">
              <a:avLst>
                <a:gd name="adj" fmla="val 7839"/>
              </a:avLst>
            </a:prstGeom>
            <a:solidFill>
              <a:schemeClr val="bg1"/>
            </a:solidFill>
            <a:ln w="19050">
              <a:solidFill>
                <a:srgbClr val="224803"/>
              </a:solidFill>
            </a:ln>
            <a:effectLst>
              <a:outerShdw blurRad="50800" dist="38100" algn="tl" rotWithShape="0">
                <a:prstClr val="black">
                  <a:alpha val="26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3" name="Retângulo: Cantos Superiores Arredondados 32">
              <a:extLst>
                <a:ext uri="{FF2B5EF4-FFF2-40B4-BE49-F238E27FC236}">
                  <a16:creationId xmlns:a16="http://schemas.microsoft.com/office/drawing/2014/main" id="{0309B9B9-971B-4EF6-BD4C-D76E70C7E59A}"/>
                </a:ext>
              </a:extLst>
            </xdr:cNvPr>
            <xdr:cNvSpPr/>
          </xdr:nvSpPr>
          <xdr:spPr>
            <a:xfrm>
              <a:off x="507207" y="1391873"/>
              <a:ext cx="2327602" cy="445851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4803"/>
            </a:solidFill>
            <a:ln>
              <a:solidFill>
                <a:srgbClr val="22480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34" name="CaixaDeTexto 33">
              <a:extLst>
                <a:ext uri="{FF2B5EF4-FFF2-40B4-BE49-F238E27FC236}">
                  <a16:creationId xmlns:a16="http://schemas.microsoft.com/office/drawing/2014/main" id="{5AA043F4-AD82-4B50-BBF3-B52127941F0F}"/>
                </a:ext>
              </a:extLst>
            </xdr:cNvPr>
            <xdr:cNvSpPr txBox="1"/>
          </xdr:nvSpPr>
          <xdr:spPr>
            <a:xfrm>
              <a:off x="843243" y="1476749"/>
              <a:ext cx="1666875" cy="3111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pt-BR" sz="1400" b="1" u="sng">
                  <a:solidFill>
                    <a:schemeClr val="bg1"/>
                  </a:solidFill>
                  <a:latin typeface="Montserrat" panose="00000500000000000000" pitchFamily="2" charset="0"/>
                </a:rPr>
                <a:t>Quem somos</a:t>
              </a:r>
            </a:p>
          </xdr:txBody>
        </xdr:sp>
      </xdr:grpSp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8AB1A6D5-78B1-49E7-89A4-810CF1491795}"/>
              </a:ext>
            </a:extLst>
          </xdr:cNvPr>
          <xdr:cNvSpPr txBox="1"/>
        </xdr:nvSpPr>
        <xdr:spPr>
          <a:xfrm>
            <a:off x="295776" y="1885950"/>
            <a:ext cx="2514099" cy="210502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Com 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dezenas de milhares de alunos 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treinados em todo o Brasil,</a:t>
            </a:r>
            <a:r>
              <a:rPr lang="pt-BR" sz="900" b="0" i="0" baseline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 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a Hashtag Treinamentos sabe exatamente como ajudar seus alunos a se 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tornarem referências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 onde trabalham ou onde pensam em trabalhar.</a:t>
            </a:r>
          </a:p>
          <a:p>
            <a:pPr algn="ctr"/>
            <a:endParaRPr lang="pt-BR" sz="900" b="0" i="0">
              <a:solidFill>
                <a:srgbClr val="211A1E"/>
              </a:solidFill>
              <a:effectLst/>
              <a:latin typeface="Montserrat" panose="00000500000000000000" pitchFamily="2" charset="0"/>
              <a:ea typeface="+mn-ea"/>
              <a:cs typeface="+mn-cs"/>
            </a:endParaRPr>
          </a:p>
          <a:p>
            <a:pPr algn="ctr"/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Todos os </a:t>
            </a:r>
            <a:r>
              <a:rPr lang="pt-BR" sz="900" b="0" i="0" u="none" strike="noStrike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  <a:hlinkClick xmlns:r="http://schemas.openxmlformats.org/officeDocument/2006/relationships" r:id="">
                  <a:extLst>
                    <a:ext uri="{A12FA001-AC4F-418D-AE19-62706E023703}">
                      <ahyp:hlinkClr xmlns:ahyp="http://schemas.microsoft.com/office/drawing/2018/hyperlinkcolor" val="tx"/>
                    </a:ext>
                  </a:extLst>
                </a:hlinkClick>
              </a:rPr>
              <a:t>nossos programas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 são extremamente didáticos, com índice de satisfação superior a 98,3% e levam qualquer um do básico até o </a:t>
            </a:r>
            <a:r>
              <a:rPr lang="pt-BR" sz="900" b="1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nível Impressionador</a:t>
            </a:r>
            <a:r>
              <a:rPr lang="pt-BR" sz="900" b="0" i="0">
                <a:solidFill>
                  <a:srgbClr val="211A1E"/>
                </a:solidFill>
                <a:effectLst/>
                <a:latin typeface="Montserrat" panose="00000500000000000000" pitchFamily="2" charset="0"/>
                <a:ea typeface="+mn-ea"/>
                <a:cs typeface="+mn-cs"/>
              </a:rPr>
              <a:t>, que está além do avançado.</a:t>
            </a:r>
          </a:p>
        </xdr:txBody>
      </xdr:sp>
    </xdr:grpSp>
    <xdr:clientData/>
  </xdr:twoCellAnchor>
  <xdr:twoCellAnchor editAs="oneCell">
    <xdr:from>
      <xdr:col>9</xdr:col>
      <xdr:colOff>447675</xdr:colOff>
      <xdr:row>17</xdr:row>
      <xdr:rowOff>152400</xdr:rowOff>
    </xdr:from>
    <xdr:to>
      <xdr:col>9</xdr:col>
      <xdr:colOff>904875</xdr:colOff>
      <xdr:row>20</xdr:row>
      <xdr:rowOff>38100</xdr:rowOff>
    </xdr:to>
    <xdr:pic>
      <xdr:nvPicPr>
        <xdr:cNvPr id="35" name="Gráfico 34" descr="Cursor com preenchimento sólido">
          <a:extLst>
            <a:ext uri="{FF2B5EF4-FFF2-40B4-BE49-F238E27FC236}">
              <a16:creationId xmlns:a16="http://schemas.microsoft.com/office/drawing/2014/main" id="{E59FE1F7-06EF-4B97-88F5-C4F703EF1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219825" y="3282950"/>
          <a:ext cx="457200" cy="438150"/>
        </a:xfrm>
        <a:prstGeom prst="rect">
          <a:avLst/>
        </a:prstGeom>
      </xdr:spPr>
    </xdr:pic>
    <xdr:clientData/>
  </xdr:twoCellAnchor>
  <xdr:twoCellAnchor>
    <xdr:from>
      <xdr:col>9</xdr:col>
      <xdr:colOff>848226</xdr:colOff>
      <xdr:row>17</xdr:row>
      <xdr:rowOff>76201</xdr:rowOff>
    </xdr:from>
    <xdr:to>
      <xdr:col>15</xdr:col>
      <xdr:colOff>47624</xdr:colOff>
      <xdr:row>20</xdr:row>
      <xdr:rowOff>159752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E60E3D0B-0B57-4F48-8E3B-7A1AFABA84DD}"/>
            </a:ext>
          </a:extLst>
        </xdr:cNvPr>
        <xdr:cNvSpPr txBox="1"/>
      </xdr:nvSpPr>
      <xdr:spPr>
        <a:xfrm>
          <a:off x="6620376" y="3206751"/>
          <a:ext cx="3631698" cy="636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900">
              <a:latin typeface="Montserrat" panose="00000500000000000000" pitchFamily="2" charset="0"/>
            </a:rPr>
            <a:t>Para ter</a:t>
          </a:r>
          <a:r>
            <a:rPr lang="pt-BR" sz="900" baseline="0">
              <a:latin typeface="Montserrat" panose="00000500000000000000" pitchFamily="2" charset="0"/>
            </a:rPr>
            <a:t> acesso ao minicurso, basta clicar nas imagens de interesse!</a:t>
          </a:r>
          <a:endParaRPr lang="pt-BR" sz="900">
            <a:latin typeface="Montserrat" panose="00000500000000000000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B4AED-502A-4322-9692-0BFDFF90F8FF}">
  <dimension ref="A1:H16"/>
  <sheetViews>
    <sheetView showGridLines="0" tabSelected="1" zoomScale="130" zoomScaleNormal="130" workbookViewId="0"/>
  </sheetViews>
  <sheetFormatPr defaultRowHeight="14.5" x14ac:dyDescent="0.35"/>
  <cols>
    <col min="1" max="5" width="14.7265625" customWidth="1"/>
    <col min="7" max="7" width="14.26953125" bestFit="1" customWidth="1"/>
    <col min="8" max="8" width="13.7265625" bestFit="1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  <c r="H1" s="3">
        <v>10000</v>
      </c>
    </row>
    <row r="2" spans="1:8" x14ac:dyDescent="0.35">
      <c r="A2" s="2">
        <v>0</v>
      </c>
      <c r="B2" s="3">
        <v>0</v>
      </c>
      <c r="C2" s="3">
        <v>0</v>
      </c>
      <c r="D2" s="3">
        <v>0</v>
      </c>
      <c r="E2" s="3">
        <f>H1</f>
        <v>10000</v>
      </c>
      <c r="G2" s="2" t="s">
        <v>6</v>
      </c>
      <c r="H2" s="4">
        <v>0.01</v>
      </c>
    </row>
    <row r="3" spans="1:8" x14ac:dyDescent="0.35">
      <c r="A3" s="2">
        <v>1</v>
      </c>
      <c r="B3" s="3">
        <f>$H$2*E2</f>
        <v>100</v>
      </c>
      <c r="C3" s="3">
        <f>+D3-B3</f>
        <v>788.48788678341691</v>
      </c>
      <c r="D3" s="3">
        <f>PMT(H2,A14,-E2)</f>
        <v>888.48788678341691</v>
      </c>
      <c r="E3" s="3">
        <f>+E2-C3</f>
        <v>9211.5121132165823</v>
      </c>
    </row>
    <row r="4" spans="1:8" x14ac:dyDescent="0.35">
      <c r="A4" s="2">
        <v>2</v>
      </c>
      <c r="B4" s="3">
        <f>$H$2*E3</f>
        <v>92.115121132165825</v>
      </c>
      <c r="C4" s="3">
        <f>+D4-B4</f>
        <v>796.37276565125103</v>
      </c>
      <c r="D4" s="3">
        <f>D3</f>
        <v>888.48788678341691</v>
      </c>
      <c r="E4" s="3">
        <f>+E3-C4</f>
        <v>8415.1393475653313</v>
      </c>
    </row>
    <row r="5" spans="1:8" x14ac:dyDescent="0.35">
      <c r="A5" s="2">
        <v>3</v>
      </c>
      <c r="B5" s="3">
        <f t="shared" ref="B5:B14" si="0">$H$2*E4</f>
        <v>84.151393475653308</v>
      </c>
      <c r="C5" s="3">
        <f t="shared" ref="C5:C14" si="1">+D5-B5</f>
        <v>804.33649330776359</v>
      </c>
      <c r="D5" s="3">
        <f t="shared" ref="D5:D14" si="2">D4</f>
        <v>888.48788678341691</v>
      </c>
      <c r="E5" s="3">
        <f t="shared" ref="E5:E14" si="3">+E4-C5</f>
        <v>7610.8028542575676</v>
      </c>
    </row>
    <row r="6" spans="1:8" x14ac:dyDescent="0.35">
      <c r="A6" s="2">
        <v>4</v>
      </c>
      <c r="B6" s="3">
        <f t="shared" si="0"/>
        <v>76.108028542575681</v>
      </c>
      <c r="C6" s="3">
        <f t="shared" si="1"/>
        <v>812.37985824084126</v>
      </c>
      <c r="D6" s="3">
        <f t="shared" si="2"/>
        <v>888.48788678341691</v>
      </c>
      <c r="E6" s="3">
        <f t="shared" si="3"/>
        <v>6798.4229960167268</v>
      </c>
    </row>
    <row r="7" spans="1:8" x14ac:dyDescent="0.35">
      <c r="A7" s="2">
        <v>5</v>
      </c>
      <c r="B7" s="3">
        <f t="shared" si="0"/>
        <v>67.984229960167269</v>
      </c>
      <c r="C7" s="3">
        <f t="shared" si="1"/>
        <v>820.50365682324968</v>
      </c>
      <c r="D7" s="3">
        <f t="shared" si="2"/>
        <v>888.48788678341691</v>
      </c>
      <c r="E7" s="3">
        <f t="shared" si="3"/>
        <v>5977.9193391934768</v>
      </c>
    </row>
    <row r="8" spans="1:8" x14ac:dyDescent="0.35">
      <c r="A8" s="2">
        <v>6</v>
      </c>
      <c r="B8" s="3">
        <f t="shared" si="0"/>
        <v>59.779193391934768</v>
      </c>
      <c r="C8" s="3">
        <f t="shared" si="1"/>
        <v>828.70869339148214</v>
      </c>
      <c r="D8" s="3">
        <f t="shared" si="2"/>
        <v>888.48788678341691</v>
      </c>
      <c r="E8" s="3">
        <f t="shared" si="3"/>
        <v>5149.2106458019944</v>
      </c>
    </row>
    <row r="9" spans="1:8" x14ac:dyDescent="0.35">
      <c r="A9" s="2">
        <v>7</v>
      </c>
      <c r="B9" s="3">
        <f t="shared" si="0"/>
        <v>51.492106458019947</v>
      </c>
      <c r="C9" s="3">
        <f t="shared" si="1"/>
        <v>836.99578032539694</v>
      </c>
      <c r="D9" s="3">
        <f t="shared" si="2"/>
        <v>888.48788678341691</v>
      </c>
      <c r="E9" s="3">
        <f t="shared" si="3"/>
        <v>4312.214865476597</v>
      </c>
    </row>
    <row r="10" spans="1:8" x14ac:dyDescent="0.35">
      <c r="A10" s="2">
        <v>8</v>
      </c>
      <c r="B10" s="3">
        <f t="shared" si="0"/>
        <v>43.122148654765972</v>
      </c>
      <c r="C10" s="3">
        <f t="shared" si="1"/>
        <v>845.36573812865095</v>
      </c>
      <c r="D10" s="3">
        <f t="shared" si="2"/>
        <v>888.48788678341691</v>
      </c>
      <c r="E10" s="3">
        <f t="shared" si="3"/>
        <v>3466.8491273479458</v>
      </c>
    </row>
    <row r="11" spans="1:8" x14ac:dyDescent="0.35">
      <c r="A11" s="2">
        <v>9</v>
      </c>
      <c r="B11" s="3">
        <f t="shared" si="0"/>
        <v>34.668491273479461</v>
      </c>
      <c r="C11" s="3">
        <f t="shared" si="1"/>
        <v>853.81939550993741</v>
      </c>
      <c r="D11" s="3">
        <f t="shared" si="2"/>
        <v>888.48788678341691</v>
      </c>
      <c r="E11" s="3">
        <f t="shared" si="3"/>
        <v>2613.0297318380085</v>
      </c>
    </row>
    <row r="12" spans="1:8" x14ac:dyDescent="0.35">
      <c r="A12" s="2">
        <v>10</v>
      </c>
      <c r="B12" s="3">
        <f t="shared" si="0"/>
        <v>26.130297318380087</v>
      </c>
      <c r="C12" s="3">
        <f t="shared" si="1"/>
        <v>862.35758946503688</v>
      </c>
      <c r="D12" s="3">
        <f t="shared" si="2"/>
        <v>888.48788678341691</v>
      </c>
      <c r="E12" s="3">
        <f t="shared" si="3"/>
        <v>1750.6721423729716</v>
      </c>
    </row>
    <row r="13" spans="1:8" x14ac:dyDescent="0.35">
      <c r="A13" s="2">
        <v>11</v>
      </c>
      <c r="B13" s="3">
        <f t="shared" si="0"/>
        <v>17.506721423729715</v>
      </c>
      <c r="C13" s="3">
        <f t="shared" si="1"/>
        <v>870.98116535968722</v>
      </c>
      <c r="D13" s="3">
        <f t="shared" si="2"/>
        <v>888.48788678341691</v>
      </c>
      <c r="E13" s="3">
        <f t="shared" si="3"/>
        <v>879.6909770132844</v>
      </c>
    </row>
    <row r="14" spans="1:8" x14ac:dyDescent="0.35">
      <c r="A14" s="2">
        <v>12</v>
      </c>
      <c r="B14" s="3">
        <f t="shared" si="0"/>
        <v>8.796909770132844</v>
      </c>
      <c r="C14" s="3">
        <f t="shared" si="1"/>
        <v>879.69097701328405</v>
      </c>
      <c r="D14" s="3">
        <f t="shared" si="2"/>
        <v>888.48788678341691</v>
      </c>
      <c r="E14" s="1">
        <f t="shared" si="3"/>
        <v>0</v>
      </c>
    </row>
    <row r="15" spans="1:8" s="7" customFormat="1" x14ac:dyDescent="0.35">
      <c r="A15" s="5"/>
      <c r="B15" s="6"/>
      <c r="C15" s="6"/>
      <c r="D15" s="6"/>
      <c r="E15" s="6"/>
    </row>
    <row r="16" spans="1:8" x14ac:dyDescent="0.35">
      <c r="A16" s="2" t="s">
        <v>7</v>
      </c>
      <c r="B16" s="3">
        <f>SUM(B2:B15)</f>
        <v>661.85464140100487</v>
      </c>
      <c r="C16" s="3"/>
      <c r="D16" s="3">
        <f>SUM(D2:D15)</f>
        <v>10661.854641401005</v>
      </c>
      <c r="E16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0CDF-17DC-449E-9A02-6A928A0803A3}">
  <dimension ref="A1:H16"/>
  <sheetViews>
    <sheetView showGridLines="0" zoomScale="130" zoomScaleNormal="130" workbookViewId="0"/>
  </sheetViews>
  <sheetFormatPr defaultRowHeight="14.5" x14ac:dyDescent="0.35"/>
  <cols>
    <col min="1" max="5" width="14.7265625" customWidth="1"/>
    <col min="7" max="7" width="14.26953125" bestFit="1" customWidth="1"/>
    <col min="8" max="8" width="13.7265625" bestFit="1" customWidth="1"/>
  </cols>
  <sheetData>
    <row r="1" spans="1:8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G1" s="8" t="s">
        <v>5</v>
      </c>
      <c r="H1" s="3">
        <v>10000</v>
      </c>
    </row>
    <row r="2" spans="1:8" x14ac:dyDescent="0.35">
      <c r="A2" s="8">
        <v>0</v>
      </c>
      <c r="B2" s="3">
        <v>0</v>
      </c>
      <c r="C2" s="3">
        <v>0</v>
      </c>
      <c r="D2" s="3">
        <v>0</v>
      </c>
      <c r="E2" s="3">
        <f>H1</f>
        <v>10000</v>
      </c>
      <c r="G2" s="8" t="s">
        <v>6</v>
      </c>
      <c r="H2" s="4">
        <v>0.01</v>
      </c>
    </row>
    <row r="3" spans="1:8" x14ac:dyDescent="0.35">
      <c r="A3" s="8">
        <v>1</v>
      </c>
      <c r="B3" s="3">
        <f>E2*$H$2</f>
        <v>100</v>
      </c>
      <c r="C3" s="3">
        <f>H1/A14</f>
        <v>833.33333333333337</v>
      </c>
      <c r="D3" s="3">
        <f>+C3+B3</f>
        <v>933.33333333333337</v>
      </c>
      <c r="E3" s="3">
        <f>+E2-C3</f>
        <v>9166.6666666666661</v>
      </c>
    </row>
    <row r="4" spans="1:8" x14ac:dyDescent="0.35">
      <c r="A4" s="8">
        <v>2</v>
      </c>
      <c r="B4" s="3">
        <f>E3*$H$2</f>
        <v>91.666666666666657</v>
      </c>
      <c r="C4" s="3">
        <f>C3</f>
        <v>833.33333333333337</v>
      </c>
      <c r="D4" s="3">
        <f>+C4+B4</f>
        <v>925</v>
      </c>
      <c r="E4" s="3">
        <f>+E3-C4</f>
        <v>8333.3333333333321</v>
      </c>
    </row>
    <row r="5" spans="1:8" x14ac:dyDescent="0.35">
      <c r="A5" s="8">
        <v>3</v>
      </c>
      <c r="B5" s="3">
        <f t="shared" ref="B5:B14" si="0">E4*$H$2</f>
        <v>83.333333333333329</v>
      </c>
      <c r="C5" s="3">
        <f t="shared" ref="C5:C14" si="1">C4</f>
        <v>833.33333333333337</v>
      </c>
      <c r="D5" s="3">
        <f t="shared" ref="D5:D14" si="2">+C5+B5</f>
        <v>916.66666666666674</v>
      </c>
      <c r="E5" s="3">
        <f t="shared" ref="E5:E14" si="3">+E4-C5</f>
        <v>7499.9999999999991</v>
      </c>
    </row>
    <row r="6" spans="1:8" x14ac:dyDescent="0.35">
      <c r="A6" s="8">
        <v>4</v>
      </c>
      <c r="B6" s="3">
        <f t="shared" si="0"/>
        <v>74.999999999999986</v>
      </c>
      <c r="C6" s="3">
        <f t="shared" si="1"/>
        <v>833.33333333333337</v>
      </c>
      <c r="D6" s="3">
        <f t="shared" si="2"/>
        <v>908.33333333333337</v>
      </c>
      <c r="E6" s="3">
        <f t="shared" si="3"/>
        <v>6666.6666666666661</v>
      </c>
    </row>
    <row r="7" spans="1:8" x14ac:dyDescent="0.35">
      <c r="A7" s="8">
        <v>5</v>
      </c>
      <c r="B7" s="3">
        <f t="shared" si="0"/>
        <v>66.666666666666657</v>
      </c>
      <c r="C7" s="3">
        <f t="shared" si="1"/>
        <v>833.33333333333337</v>
      </c>
      <c r="D7" s="3">
        <f t="shared" si="2"/>
        <v>900</v>
      </c>
      <c r="E7" s="3">
        <f t="shared" si="3"/>
        <v>5833.333333333333</v>
      </c>
    </row>
    <row r="8" spans="1:8" x14ac:dyDescent="0.35">
      <c r="A8" s="8">
        <v>6</v>
      </c>
      <c r="B8" s="3">
        <f t="shared" si="0"/>
        <v>58.333333333333329</v>
      </c>
      <c r="C8" s="3">
        <f t="shared" si="1"/>
        <v>833.33333333333337</v>
      </c>
      <c r="D8" s="3">
        <f t="shared" si="2"/>
        <v>891.66666666666674</v>
      </c>
      <c r="E8" s="3">
        <f t="shared" si="3"/>
        <v>5000</v>
      </c>
    </row>
    <row r="9" spans="1:8" x14ac:dyDescent="0.35">
      <c r="A9" s="8">
        <v>7</v>
      </c>
      <c r="B9" s="3">
        <f t="shared" si="0"/>
        <v>50</v>
      </c>
      <c r="C9" s="3">
        <f t="shared" si="1"/>
        <v>833.33333333333337</v>
      </c>
      <c r="D9" s="3">
        <f t="shared" si="2"/>
        <v>883.33333333333337</v>
      </c>
      <c r="E9" s="3">
        <f t="shared" si="3"/>
        <v>4166.666666666667</v>
      </c>
    </row>
    <row r="10" spans="1:8" x14ac:dyDescent="0.35">
      <c r="A10" s="8">
        <v>8</v>
      </c>
      <c r="B10" s="3">
        <f t="shared" si="0"/>
        <v>41.666666666666671</v>
      </c>
      <c r="C10" s="3">
        <f t="shared" si="1"/>
        <v>833.33333333333337</v>
      </c>
      <c r="D10" s="3">
        <f t="shared" si="2"/>
        <v>875</v>
      </c>
      <c r="E10" s="3">
        <f t="shared" si="3"/>
        <v>3333.3333333333335</v>
      </c>
    </row>
    <row r="11" spans="1:8" x14ac:dyDescent="0.35">
      <c r="A11" s="8">
        <v>9</v>
      </c>
      <c r="B11" s="3">
        <f t="shared" si="0"/>
        <v>33.333333333333336</v>
      </c>
      <c r="C11" s="3">
        <f t="shared" si="1"/>
        <v>833.33333333333337</v>
      </c>
      <c r="D11" s="3">
        <f t="shared" si="2"/>
        <v>866.66666666666674</v>
      </c>
      <c r="E11" s="3">
        <f t="shared" si="3"/>
        <v>2500</v>
      </c>
    </row>
    <row r="12" spans="1:8" x14ac:dyDescent="0.35">
      <c r="A12" s="8">
        <v>10</v>
      </c>
      <c r="B12" s="3">
        <f t="shared" si="0"/>
        <v>25</v>
      </c>
      <c r="C12" s="3">
        <f t="shared" si="1"/>
        <v>833.33333333333337</v>
      </c>
      <c r="D12" s="3">
        <f t="shared" si="2"/>
        <v>858.33333333333337</v>
      </c>
      <c r="E12" s="3">
        <f t="shared" si="3"/>
        <v>1666.6666666666665</v>
      </c>
    </row>
    <row r="13" spans="1:8" x14ac:dyDescent="0.35">
      <c r="A13" s="8">
        <v>11</v>
      </c>
      <c r="B13" s="3">
        <f t="shared" si="0"/>
        <v>16.666666666666664</v>
      </c>
      <c r="C13" s="3">
        <f t="shared" si="1"/>
        <v>833.33333333333337</v>
      </c>
      <c r="D13" s="3">
        <f t="shared" si="2"/>
        <v>850</v>
      </c>
      <c r="E13" s="3">
        <f t="shared" si="3"/>
        <v>833.33333333333314</v>
      </c>
    </row>
    <row r="14" spans="1:8" x14ac:dyDescent="0.35">
      <c r="A14" s="8">
        <v>12</v>
      </c>
      <c r="B14" s="3">
        <f t="shared" si="0"/>
        <v>8.3333333333333321</v>
      </c>
      <c r="C14" s="3">
        <f t="shared" si="1"/>
        <v>833.33333333333337</v>
      </c>
      <c r="D14" s="3">
        <f t="shared" si="2"/>
        <v>841.66666666666674</v>
      </c>
      <c r="E14" s="3">
        <f t="shared" si="3"/>
        <v>0</v>
      </c>
    </row>
    <row r="15" spans="1:8" s="7" customFormat="1" x14ac:dyDescent="0.35">
      <c r="A15" s="5"/>
      <c r="B15" s="6"/>
      <c r="C15" s="6"/>
      <c r="D15" s="6"/>
      <c r="E15" s="6"/>
    </row>
    <row r="16" spans="1:8" x14ac:dyDescent="0.35">
      <c r="A16" s="8" t="s">
        <v>7</v>
      </c>
      <c r="B16" s="3">
        <f>SUM(B2:B15)</f>
        <v>650</v>
      </c>
      <c r="C16" s="3"/>
      <c r="D16" s="3">
        <f>SUM(D2:D15)</f>
        <v>10650</v>
      </c>
      <c r="E16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C1DF-E86C-4443-B4F3-9AA24D04969A}">
  <dimension ref="A1:T24"/>
  <sheetViews>
    <sheetView workbookViewId="0"/>
  </sheetViews>
  <sheetFormatPr defaultColWidth="0" defaultRowHeight="14.5" zeroHeight="1" x14ac:dyDescent="0.35"/>
  <cols>
    <col min="1" max="9" width="9.1796875" customWidth="1"/>
    <col min="10" max="10" width="17.54296875" bestFit="1" customWidth="1"/>
    <col min="11" max="20" width="9.1796875" customWidth="1"/>
    <col min="21" max="16384" width="8.7265625" hidden="1"/>
  </cols>
  <sheetData>
    <row r="1" spans="1:20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x14ac:dyDescent="0.35">
      <c r="A10" s="9"/>
      <c r="B10" s="9"/>
      <c r="C10" s="9"/>
      <c r="D10" s="9"/>
      <c r="E10" s="9"/>
      <c r="F10" s="9"/>
      <c r="G10" s="9"/>
      <c r="H10" s="9"/>
      <c r="I10" s="9"/>
      <c r="J10" s="10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Price</vt:lpstr>
      <vt:lpstr>SAC</vt:lpstr>
      <vt:lpstr>Sobre a Hashtag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Amorim</dc:creator>
  <cp:lastModifiedBy>Heitor P</cp:lastModifiedBy>
  <dcterms:created xsi:type="dcterms:W3CDTF">2020-03-11T16:58:20Z</dcterms:created>
  <dcterms:modified xsi:type="dcterms:W3CDTF">2022-02-13T14:40:33Z</dcterms:modified>
</cp:coreProperties>
</file>